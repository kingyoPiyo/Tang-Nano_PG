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filterPrivacy="1" codeName="ThisWorkbook"/>
  <xr:revisionPtr revIDLastSave="0" documentId="13_ncr:1_{89AEAF2C-6EF4-4E35-B3C8-3F7A24752239}" xr6:coauthVersionLast="47" xr6:coauthVersionMax="47" xr10:uidLastSave="{00000000-0000-0000-0000-000000000000}"/>
  <bookViews>
    <workbookView xWindow="9120" yWindow="4395" windowWidth="25665" windowHeight="24090" xr2:uid="{00000000-000D-0000-FFFF-FFFF00000000}"/>
  </bookViews>
  <sheets>
    <sheet name="Main" sheetId="1" r:id="rId1"/>
  </sheets>
  <functionGroups builtInGroupCount="19"/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1" l="1"/>
  <c r="E19" i="1"/>
  <c r="E17" i="1"/>
  <c r="E15" i="1"/>
  <c r="E16" i="1"/>
  <c r="E18" i="1"/>
  <c r="E20" i="1"/>
  <c r="E14" i="1"/>
  <c r="E13" i="1"/>
  <c r="C29" i="1" l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27" i="1"/>
  <c r="C28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13" i="1"/>
</calcChain>
</file>

<file path=xl/sharedStrings.xml><?xml version="1.0" encoding="utf-8"?>
<sst xmlns="http://schemas.openxmlformats.org/spreadsheetml/2006/main" count="62" uniqueCount="31">
  <si>
    <t>BaudRate</t>
    <phoneticPr fontId="3"/>
  </si>
  <si>
    <t>Addr</t>
    <phoneticPr fontId="3"/>
  </si>
  <si>
    <t>COM Port</t>
    <phoneticPr fontId="3"/>
  </si>
  <si>
    <t>Start Addr</t>
    <phoneticPr fontId="3"/>
  </si>
  <si>
    <t>Step</t>
    <phoneticPr fontId="3"/>
  </si>
  <si>
    <t>End Addr</t>
    <phoneticPr fontId="3"/>
  </si>
  <si>
    <t>W En</t>
    <phoneticPr fontId="3"/>
  </si>
  <si>
    <t>W Data(dec)</t>
    <phoneticPr fontId="3"/>
  </si>
  <si>
    <t>R Data(dec)</t>
    <phoneticPr fontId="3"/>
  </si>
  <si>
    <t>R En</t>
    <phoneticPr fontId="3"/>
  </si>
  <si>
    <t>FF</t>
    <phoneticPr fontId="3"/>
  </si>
  <si>
    <t>FPGA実装</t>
    <rPh sb="4" eb="6">
      <t>ジッソウ</t>
    </rPh>
    <phoneticPr fontId="3"/>
  </si>
  <si>
    <t>割り当て</t>
    <rPh sb="0" eb="1">
      <t>ワ</t>
    </rPh>
    <rPh sb="2" eb="3">
      <t>ア</t>
    </rPh>
    <phoneticPr fontId="3"/>
  </si>
  <si>
    <t>-</t>
    <phoneticPr fontId="3"/>
  </si>
  <si>
    <t>周期[10ns]</t>
    <rPh sb="0" eb="2">
      <t>シュウキ</t>
    </rPh>
    <phoneticPr fontId="3"/>
  </si>
  <si>
    <t>CH1 Delay[10ns]</t>
    <phoneticPr fontId="3"/>
  </si>
  <si>
    <t>CH1 Width[10ns]</t>
    <phoneticPr fontId="3"/>
  </si>
  <si>
    <t>CH2 Delay[10ns]</t>
    <phoneticPr fontId="3"/>
  </si>
  <si>
    <t>CH2 Width[10ns]</t>
    <phoneticPr fontId="3"/>
  </si>
  <si>
    <t>CH3 Delay[10ns]</t>
    <phoneticPr fontId="3"/>
  </si>
  <si>
    <t>CH3 Width[10ns]</t>
    <phoneticPr fontId="3"/>
  </si>
  <si>
    <t>CH0 Delay[10ns]</t>
    <phoneticPr fontId="3"/>
  </si>
  <si>
    <t>CH0 Width[10ns]</t>
    <phoneticPr fontId="3"/>
  </si>
  <si>
    <t>CH0_st</t>
    <phoneticPr fontId="3"/>
  </si>
  <si>
    <t>CH0_end</t>
    <phoneticPr fontId="3"/>
  </si>
  <si>
    <t>CH3_st</t>
    <phoneticPr fontId="3"/>
  </si>
  <si>
    <t>CH3_end</t>
    <phoneticPr fontId="3"/>
  </si>
  <si>
    <t>CH2_st</t>
    <phoneticPr fontId="3"/>
  </si>
  <si>
    <t>CH2_end</t>
    <phoneticPr fontId="3"/>
  </si>
  <si>
    <t>CH1_st</t>
    <phoneticPr fontId="3"/>
  </si>
  <si>
    <t>CH1_end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</si>
</sst>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10"/>
      <color theme="1"/>
      <name val="ＭＳ Ｐゴシック"/>
      <family val="2"/>
      <charset val="128"/>
    </font>
    <font>
      <sz val="10"/>
      <color theme="1"/>
      <name val="ＭＳ Ｐゴシック"/>
      <family val="2"/>
      <charset val="128"/>
    </font>
    <font>
      <sz val="6"/>
      <name val="Yu Gothic"/>
      <family val="3"/>
      <charset val="128"/>
      <scheme val="minor"/>
    </font>
    <font>
      <sz val="10"/>
      <color theme="1"/>
      <name val="Meiryo UI"/>
      <family val="3"/>
      <charset val="128"/>
    </font>
    <font>
      <sz val="10"/>
      <name val="Meiryo UI"/>
      <family val="3"/>
      <charset val="128"/>
    </font>
    <font>
      <sz val="10"/>
      <color theme="1"/>
      <name val="Yu Gothic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33">
    <xf numFmtId="0" fontId="0" fillId="0" borderId="0" xfId="0"/>
    <xf numFmtId="0" fontId="4" fillId="0" borderId="1" xfId="0" applyFont="1" applyBorder="1"/>
    <xf numFmtId="0" fontId="4" fillId="0" borderId="0" xfId="0" applyFont="1"/>
    <xf numFmtId="0" fontId="5" fillId="0" borderId="0" xfId="0" applyFont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5" fillId="3" borderId="15" xfId="0" applyFont="1" applyFill="1" applyBorder="1"/>
    <xf numFmtId="0" fontId="5" fillId="3" borderId="13" xfId="0" quotePrefix="1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/>
    <xf numFmtId="0" fontId="4" fillId="0" borderId="6" xfId="0" applyFont="1" applyBorder="1"/>
    <xf numFmtId="0" fontId="5" fillId="3" borderId="16" xfId="0" applyFont="1" applyFill="1" applyBorder="1"/>
    <xf numFmtId="0" fontId="5" fillId="3" borderId="14" xfId="0" quotePrefix="1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/>
    <xf numFmtId="0" fontId="4" fillId="0" borderId="7" xfId="0" applyFont="1" applyBorder="1"/>
    <xf numFmtId="0" fontId="4" fillId="0" borderId="16" xfId="0" applyFont="1" applyBorder="1" applyAlignment="1">
      <alignment horizontal="center" vertical="center"/>
    </xf>
    <xf numFmtId="0" fontId="4" fillId="0" borderId="0" xfId="2" applyFont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8" xfId="0" quotePrefix="1" applyFont="1" applyBorder="1" applyAlignment="1">
      <alignment horizontal="center" vertical="center"/>
    </xf>
    <xf numFmtId="0" fontId="4" fillId="4" borderId="1" xfId="0" applyFont="1" applyFill="1" applyBorder="1"/>
    <xf numFmtId="0" fontId="4" fillId="6" borderId="1" xfId="0" applyFont="1" applyFill="1" applyBorder="1"/>
    <xf numFmtId="0" fontId="4" fillId="5" borderId="1" xfId="0" applyFont="1" applyFill="1" applyBorder="1"/>
    <xf numFmtId="0" fontId="4" fillId="7" borderId="1" xfId="0" applyFont="1" applyFill="1" applyBorder="1"/>
    <xf numFmtId="0" fontId="6" fillId="0" borderId="0" xfId="0" applyFont="1"/>
  </cellXfs>
  <cellStyles count="3">
    <cellStyle name="標準" xfId="0" builtinId="0"/>
    <cellStyle name="標準 2" xfId="1" xr:uid="{3A7B4BF8-DE21-427D-B466-EECB2527212F}"/>
    <cellStyle name="標準 3" xfId="2" xr:uid="{51531794-7343-4C1B-A0C7-CEAEC1E6CC01}"/>
  </cellStyles>
  <dxfs count="4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FFFF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FF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</xdr:row>
          <xdr:rowOff>38100</xdr:rowOff>
        </xdr:from>
        <xdr:to>
          <xdr:col>4</xdr:col>
          <xdr:colOff>800100</xdr:colOff>
          <xdr:row>3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885825</xdr:colOff>
          <xdr:row>1</xdr:row>
          <xdr:rowOff>57150</xdr:rowOff>
        </xdr:from>
        <xdr:to>
          <xdr:col>5</xdr:col>
          <xdr:colOff>361950</xdr:colOff>
          <xdr:row>3</xdr:row>
          <xdr:rowOff>9525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800100</xdr:colOff>
          <xdr:row>10</xdr:row>
          <xdr:rowOff>104775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</xdr:row>
          <xdr:rowOff>161925</xdr:rowOff>
        </xdr:from>
        <xdr:to>
          <xdr:col>3</xdr:col>
          <xdr:colOff>200025</xdr:colOff>
          <xdr:row>10</xdr:row>
          <xdr:rowOff>95250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8</xdr:row>
          <xdr:rowOff>161925</xdr:rowOff>
        </xdr:from>
        <xdr:to>
          <xdr:col>4</xdr:col>
          <xdr:colOff>895350</xdr:colOff>
          <xdr:row>10</xdr:row>
          <xdr:rowOff>95250</xdr:rowOff>
        </xdr:to>
        <xdr:sp macro="" textlink="">
          <xdr:nvSpPr>
            <xdr:cNvPr id="1031" name="CommandButton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M44"/>
  <sheetViews>
    <sheetView tabSelected="1" zoomScale="85" zoomScaleNormal="85" workbookViewId="0">
      <selection activeCell="E10" sqref="E10"/>
    </sheetView>
  </sheetViews>
  <sheetFormatPr defaultRowHeight="14.25"/>
  <cols>
    <col min="1" max="1" width="4" style="2" customWidth="1"/>
    <col min="2" max="2" width="6.625" style="2" customWidth="1"/>
    <col min="3" max="3" width="11.625" style="2" customWidth="1"/>
    <col min="4" max="4" width="7.75" style="2" customWidth="1"/>
    <col min="5" max="5" width="15.125" style="2" customWidth="1"/>
    <col min="6" max="6" width="7.75" style="2" customWidth="1"/>
    <col min="7" max="7" width="14.875" style="2" customWidth="1"/>
    <col min="8" max="8" width="11" style="2" customWidth="1"/>
    <col min="9" max="9" width="20.75" style="2" customWidth="1"/>
    <col min="10" max="10" width="5.5" style="2" customWidth="1"/>
    <col min="11" max="11" width="21.875" style="2" customWidth="1"/>
    <col min="12" max="12" width="15.25" style="2" customWidth="1"/>
    <col min="13" max="13" width="4.5" style="2" bestFit="1" customWidth="1"/>
    <col min="14" max="16384" width="9" style="2"/>
  </cols>
  <sheetData>
    <row r="2" spans="1:12">
      <c r="C2" s="1" t="s">
        <v>2</v>
      </c>
      <c r="D2" s="1">
        <v>27</v>
      </c>
    </row>
    <row r="3" spans="1:12">
      <c r="C3" s="1" t="s">
        <v>0</v>
      </c>
      <c r="D3" s="1">
        <v>19200</v>
      </c>
    </row>
    <row r="6" spans="1:12">
      <c r="C6" s="2" t="s">
        <v>3</v>
      </c>
      <c r="D6" s="2">
        <v>0</v>
      </c>
      <c r="K6" s="1" t="s">
        <v>14</v>
      </c>
      <c r="L6" s="1">
        <v>1000</v>
      </c>
    </row>
    <row r="7" spans="1:12">
      <c r="C7" s="2" t="s">
        <v>5</v>
      </c>
      <c r="D7" s="2">
        <v>16</v>
      </c>
      <c r="K7" s="28" t="s">
        <v>21</v>
      </c>
      <c r="L7" s="1">
        <v>0</v>
      </c>
    </row>
    <row r="8" spans="1:12">
      <c r="C8" s="2" t="s">
        <v>4</v>
      </c>
      <c r="D8" s="2">
        <v>2</v>
      </c>
      <c r="K8" s="28" t="s">
        <v>22</v>
      </c>
      <c r="L8" s="1">
        <v>10</v>
      </c>
    </row>
    <row r="9" spans="1:12">
      <c r="K9" s="30" t="s">
        <v>15</v>
      </c>
      <c r="L9" s="1">
        <v>10</v>
      </c>
    </row>
    <row r="10" spans="1:12">
      <c r="K10" s="30" t="s">
        <v>16</v>
      </c>
      <c r="L10" s="1">
        <v>10</v>
      </c>
    </row>
    <row r="11" spans="1:12" ht="15" thickBot="1">
      <c r="K11" s="31" t="s">
        <v>17</v>
      </c>
      <c r="L11" s="1">
        <v>20</v>
      </c>
    </row>
    <row r="12" spans="1:12" ht="15" thickBot="1">
      <c r="A12" s="3"/>
      <c r="B12" s="4"/>
      <c r="C12" s="5" t="s">
        <v>1</v>
      </c>
      <c r="D12" s="6" t="s">
        <v>6</v>
      </c>
      <c r="E12" s="7" t="s">
        <v>7</v>
      </c>
      <c r="F12" s="8" t="s">
        <v>9</v>
      </c>
      <c r="G12" s="9" t="s">
        <v>8</v>
      </c>
      <c r="H12" s="10" t="s">
        <v>11</v>
      </c>
      <c r="I12" s="25" t="s">
        <v>12</v>
      </c>
      <c r="K12" s="31" t="s">
        <v>18</v>
      </c>
      <c r="L12" s="1">
        <v>10</v>
      </c>
    </row>
    <row r="13" spans="1:12">
      <c r="A13" s="3"/>
      <c r="B13" s="11">
        <v>0</v>
      </c>
      <c r="C13" s="12" t="str">
        <f>DEC2HEX(B13,4)</f>
        <v>0000</v>
      </c>
      <c r="D13" s="13">
        <v>2</v>
      </c>
      <c r="E13" s="14">
        <f>L6-1</f>
        <v>999</v>
      </c>
      <c r="F13" s="13">
        <v>1</v>
      </c>
      <c r="G13" s="15">
        <v>999</v>
      </c>
      <c r="H13" s="23" t="s">
        <v>10</v>
      </c>
      <c r="I13" s="26" t="s">
        <v>14</v>
      </c>
      <c r="K13" s="29" t="s">
        <v>19</v>
      </c>
      <c r="L13" s="1">
        <v>30</v>
      </c>
    </row>
    <row r="14" spans="1:12">
      <c r="A14" s="3"/>
      <c r="B14" s="16">
        <v>2</v>
      </c>
      <c r="C14" s="17" t="str">
        <f t="shared" ref="C14:C44" si="0">DEC2HEX(B14,4)</f>
        <v>0002</v>
      </c>
      <c r="D14" s="18">
        <v>2</v>
      </c>
      <c r="E14" s="19">
        <f>L7</f>
        <v>0</v>
      </c>
      <c r="F14" s="18">
        <v>1</v>
      </c>
      <c r="G14" s="20">
        <v>0</v>
      </c>
      <c r="H14" s="24" t="s">
        <v>10</v>
      </c>
      <c r="I14" s="21" t="s">
        <v>23</v>
      </c>
      <c r="K14" s="29" t="s">
        <v>20</v>
      </c>
      <c r="L14" s="1">
        <v>10</v>
      </c>
    </row>
    <row r="15" spans="1:12">
      <c r="A15" s="3"/>
      <c r="B15" s="16">
        <v>4</v>
      </c>
      <c r="C15" s="17" t="str">
        <f t="shared" si="0"/>
        <v>0004</v>
      </c>
      <c r="D15" s="18">
        <v>2</v>
      </c>
      <c r="E15" s="14">
        <f>L8+L7</f>
        <v>10</v>
      </c>
      <c r="F15" s="18">
        <v>1</v>
      </c>
      <c r="G15" s="20">
        <v>10</v>
      </c>
      <c r="H15" s="24" t="s">
        <v>10</v>
      </c>
      <c r="I15" s="21" t="s">
        <v>24</v>
      </c>
    </row>
    <row r="16" spans="1:12">
      <c r="A16" s="3"/>
      <c r="B16" s="16">
        <v>6</v>
      </c>
      <c r="C16" s="17" t="str">
        <f t="shared" si="0"/>
        <v>0006</v>
      </c>
      <c r="D16" s="18">
        <v>2</v>
      </c>
      <c r="E16" s="14">
        <f t="shared" ref="E16:E20" si="1">L9</f>
        <v>10</v>
      </c>
      <c r="F16" s="18">
        <v>1</v>
      </c>
      <c r="G16" s="20">
        <v>10</v>
      </c>
      <c r="H16" s="24" t="s">
        <v>10</v>
      </c>
      <c r="I16" s="21" t="s">
        <v>29</v>
      </c>
    </row>
    <row r="17" spans="1:13">
      <c r="A17" s="3"/>
      <c r="B17" s="16">
        <v>8</v>
      </c>
      <c r="C17" s="17" t="str">
        <f t="shared" si="0"/>
        <v>0008</v>
      </c>
      <c r="D17" s="18">
        <v>2</v>
      </c>
      <c r="E17" s="14">
        <f>L10+L9</f>
        <v>20</v>
      </c>
      <c r="F17" s="18">
        <v>1</v>
      </c>
      <c r="G17" s="20">
        <v>20</v>
      </c>
      <c r="H17" s="24" t="s">
        <v>10</v>
      </c>
      <c r="I17" s="21" t="s">
        <v>30</v>
      </c>
    </row>
    <row r="18" spans="1:13">
      <c r="A18" s="3"/>
      <c r="B18" s="16">
        <v>10</v>
      </c>
      <c r="C18" s="17" t="str">
        <f t="shared" si="0"/>
        <v>000A</v>
      </c>
      <c r="D18" s="18">
        <v>2</v>
      </c>
      <c r="E18" s="14">
        <f t="shared" si="1"/>
        <v>20</v>
      </c>
      <c r="F18" s="18">
        <v>1</v>
      </c>
      <c r="G18" s="20">
        <v>20</v>
      </c>
      <c r="H18" s="24" t="s">
        <v>10</v>
      </c>
      <c r="I18" s="21" t="s">
        <v>27</v>
      </c>
    </row>
    <row r="19" spans="1:13">
      <c r="A19" s="3"/>
      <c r="B19" s="16">
        <v>12</v>
      </c>
      <c r="C19" s="17" t="str">
        <f t="shared" si="0"/>
        <v>000C</v>
      </c>
      <c r="D19" s="18">
        <v>2</v>
      </c>
      <c r="E19" s="14">
        <f>L12+L11</f>
        <v>30</v>
      </c>
      <c r="F19" s="18">
        <v>1</v>
      </c>
      <c r="G19" s="20">
        <v>30</v>
      </c>
      <c r="H19" s="24" t="s">
        <v>10</v>
      </c>
      <c r="I19" s="21" t="s">
        <v>28</v>
      </c>
    </row>
    <row r="20" spans="1:13">
      <c r="A20" s="3"/>
      <c r="B20" s="16">
        <v>14</v>
      </c>
      <c r="C20" s="17" t="str">
        <f t="shared" si="0"/>
        <v>000E</v>
      </c>
      <c r="D20" s="18">
        <v>2</v>
      </c>
      <c r="E20" s="14">
        <f t="shared" si="1"/>
        <v>30</v>
      </c>
      <c r="F20" s="18">
        <v>1</v>
      </c>
      <c r="G20" s="20">
        <v>30</v>
      </c>
      <c r="H20" s="24" t="s">
        <v>10</v>
      </c>
      <c r="I20" s="21" t="s">
        <v>25</v>
      </c>
    </row>
    <row r="21" spans="1:13">
      <c r="A21" s="3"/>
      <c r="B21" s="16">
        <v>16</v>
      </c>
      <c r="C21" s="17" t="str">
        <f t="shared" si="0"/>
        <v>0010</v>
      </c>
      <c r="D21" s="18">
        <v>2</v>
      </c>
      <c r="E21" s="14">
        <f>L14+L13</f>
        <v>40</v>
      </c>
      <c r="F21" s="18">
        <v>1</v>
      </c>
      <c r="G21" s="20">
        <v>40</v>
      </c>
      <c r="H21" s="24" t="s">
        <v>10</v>
      </c>
      <c r="I21" s="21" t="s">
        <v>26</v>
      </c>
    </row>
    <row r="22" spans="1:13">
      <c r="A22" s="3"/>
      <c r="B22" s="16">
        <v>18</v>
      </c>
      <c r="C22" s="17" t="str">
        <f t="shared" si="0"/>
        <v>0012</v>
      </c>
      <c r="D22" s="18">
        <v>0</v>
      </c>
      <c r="E22" s="19"/>
      <c r="F22" s="18">
        <v>0</v>
      </c>
      <c r="G22" s="20"/>
      <c r="H22" s="27" t="s">
        <v>13</v>
      </c>
      <c r="I22" s="21"/>
    </row>
    <row r="23" spans="1:13">
      <c r="A23" s="3"/>
      <c r="B23" s="16">
        <v>20</v>
      </c>
      <c r="C23" s="17" t="str">
        <f t="shared" si="0"/>
        <v>0014</v>
      </c>
      <c r="D23" s="18">
        <v>0</v>
      </c>
      <c r="E23" s="19"/>
      <c r="F23" s="18">
        <v>0</v>
      </c>
      <c r="G23" s="20"/>
      <c r="H23" s="27" t="s">
        <v>13</v>
      </c>
      <c r="I23" s="21"/>
    </row>
    <row r="24" spans="1:13">
      <c r="B24" s="16">
        <v>22</v>
      </c>
      <c r="C24" s="17" t="str">
        <f t="shared" si="0"/>
        <v>0016</v>
      </c>
      <c r="D24" s="18">
        <v>0</v>
      </c>
      <c r="E24" s="19"/>
      <c r="F24" s="18">
        <v>0</v>
      </c>
      <c r="G24" s="20"/>
      <c r="H24" s="27" t="s">
        <v>13</v>
      </c>
      <c r="I24" s="21"/>
    </row>
    <row r="25" spans="1:13">
      <c r="B25" s="16">
        <v>24</v>
      </c>
      <c r="C25" s="17" t="str">
        <f t="shared" si="0"/>
        <v>0018</v>
      </c>
      <c r="D25" s="18">
        <v>0</v>
      </c>
      <c r="E25" s="19"/>
      <c r="F25" s="18">
        <v>0</v>
      </c>
      <c r="G25" s="20"/>
      <c r="H25" s="27" t="s">
        <v>13</v>
      </c>
      <c r="I25" s="21"/>
    </row>
    <row r="26" spans="1:13">
      <c r="B26" s="16">
        <v>26</v>
      </c>
      <c r="C26" s="17" t="str">
        <f t="shared" si="0"/>
        <v>001A</v>
      </c>
      <c r="D26" s="18">
        <v>0</v>
      </c>
      <c r="E26" s="19"/>
      <c r="F26" s="18">
        <v>0</v>
      </c>
      <c r="G26" s="20"/>
      <c r="H26" s="27" t="s">
        <v>13</v>
      </c>
      <c r="I26" s="21"/>
    </row>
    <row r="27" spans="1:13">
      <c r="B27" s="16">
        <v>28</v>
      </c>
      <c r="C27" s="17" t="str">
        <f t="shared" si="0"/>
        <v>001C</v>
      </c>
      <c r="D27" s="18">
        <v>0</v>
      </c>
      <c r="E27" s="19"/>
      <c r="F27" s="18">
        <v>0</v>
      </c>
      <c r="G27" s="20"/>
      <c r="H27" s="27" t="s">
        <v>13</v>
      </c>
      <c r="I27" s="21"/>
    </row>
    <row r="28" spans="1:13">
      <c r="B28" s="16">
        <v>30</v>
      </c>
      <c r="C28" s="17" t="str">
        <f t="shared" si="0"/>
        <v>001E</v>
      </c>
      <c r="D28" s="18">
        <v>0</v>
      </c>
      <c r="E28" s="19"/>
      <c r="F28" s="18">
        <v>0</v>
      </c>
      <c r="G28" s="20"/>
      <c r="H28" s="27" t="s">
        <v>13</v>
      </c>
      <c r="I28" s="21"/>
    </row>
    <row r="29" spans="1:13">
      <c r="B29" s="16">
        <v>32</v>
      </c>
      <c r="C29" s="17" t="str">
        <f t="shared" si="0"/>
        <v>0020</v>
      </c>
      <c r="D29" s="18">
        <v>0</v>
      </c>
      <c r="E29" s="19"/>
      <c r="F29" s="18">
        <v>0</v>
      </c>
      <c r="G29" s="20"/>
      <c r="H29" s="27" t="s">
        <v>13</v>
      </c>
      <c r="I29" s="21"/>
    </row>
    <row r="30" spans="1:13" ht="16.5">
      <c r="B30" s="16">
        <v>34</v>
      </c>
      <c r="C30" s="17" t="str">
        <f t="shared" si="0"/>
        <v>0022</v>
      </c>
      <c r="D30" s="18">
        <v>0</v>
      </c>
      <c r="E30" s="19"/>
      <c r="F30" s="18">
        <v>0</v>
      </c>
      <c r="G30" s="20"/>
      <c r="H30" s="27" t="s">
        <v>13</v>
      </c>
      <c r="I30" s="21"/>
      <c r="K30" s="32"/>
      <c r="L30" s="32"/>
      <c r="M30" s="32"/>
    </row>
    <row r="31" spans="1:13" ht="16.5">
      <c r="B31" s="16">
        <v>36</v>
      </c>
      <c r="C31" s="17" t="str">
        <f t="shared" si="0"/>
        <v>0024</v>
      </c>
      <c r="D31" s="18">
        <v>0</v>
      </c>
      <c r="E31" s="19"/>
      <c r="F31" s="18">
        <v>0</v>
      </c>
      <c r="G31" s="20"/>
      <c r="H31" s="27" t="s">
        <v>13</v>
      </c>
      <c r="I31" s="21"/>
      <c r="K31" s="32"/>
      <c r="L31" s="32"/>
      <c r="M31" s="32"/>
    </row>
    <row r="32" spans="1:13" ht="16.5">
      <c r="B32" s="16">
        <v>38</v>
      </c>
      <c r="C32" s="17" t="str">
        <f t="shared" si="0"/>
        <v>0026</v>
      </c>
      <c r="D32" s="18">
        <v>0</v>
      </c>
      <c r="E32" s="19"/>
      <c r="F32" s="18">
        <v>0</v>
      </c>
      <c r="G32" s="20"/>
      <c r="H32" s="27" t="s">
        <v>13</v>
      </c>
      <c r="I32" s="21"/>
      <c r="K32" s="32"/>
      <c r="L32" s="32"/>
      <c r="M32" s="32"/>
    </row>
    <row r="33" spans="2:13" ht="16.5">
      <c r="B33" s="16">
        <v>40</v>
      </c>
      <c r="C33" s="17" t="str">
        <f t="shared" si="0"/>
        <v>0028</v>
      </c>
      <c r="D33" s="18">
        <v>0</v>
      </c>
      <c r="E33" s="19"/>
      <c r="F33" s="18">
        <v>0</v>
      </c>
      <c r="G33" s="20"/>
      <c r="H33" s="27" t="s">
        <v>13</v>
      </c>
      <c r="I33" s="21"/>
      <c r="K33" s="32"/>
      <c r="L33" s="32"/>
      <c r="M33" s="32"/>
    </row>
    <row r="34" spans="2:13" ht="16.5">
      <c r="B34" s="16">
        <v>42</v>
      </c>
      <c r="C34" s="17" t="str">
        <f t="shared" si="0"/>
        <v>002A</v>
      </c>
      <c r="D34" s="18">
        <v>0</v>
      </c>
      <c r="E34" s="19"/>
      <c r="F34" s="18">
        <v>0</v>
      </c>
      <c r="G34" s="20"/>
      <c r="H34" s="27" t="s">
        <v>13</v>
      </c>
      <c r="I34" s="21"/>
      <c r="K34" s="32"/>
      <c r="L34" s="32"/>
      <c r="M34" s="32"/>
    </row>
    <row r="35" spans="2:13" ht="16.5">
      <c r="B35" s="16">
        <v>44</v>
      </c>
      <c r="C35" s="17" t="str">
        <f t="shared" si="0"/>
        <v>002C</v>
      </c>
      <c r="D35" s="18">
        <v>0</v>
      </c>
      <c r="E35" s="19"/>
      <c r="F35" s="18">
        <v>0</v>
      </c>
      <c r="G35" s="20"/>
      <c r="H35" s="27" t="s">
        <v>13</v>
      </c>
      <c r="I35" s="21"/>
      <c r="K35" s="32"/>
      <c r="L35" s="32"/>
      <c r="M35" s="32"/>
    </row>
    <row r="36" spans="2:13" ht="16.5">
      <c r="B36" s="16">
        <v>46</v>
      </c>
      <c r="C36" s="17" t="str">
        <f t="shared" si="0"/>
        <v>002E</v>
      </c>
      <c r="D36" s="18">
        <v>0</v>
      </c>
      <c r="E36" s="19"/>
      <c r="F36" s="18">
        <v>0</v>
      </c>
      <c r="G36" s="20"/>
      <c r="H36" s="27" t="s">
        <v>13</v>
      </c>
      <c r="I36" s="21"/>
      <c r="K36" s="32"/>
      <c r="L36" s="32"/>
      <c r="M36" s="32"/>
    </row>
    <row r="37" spans="2:13">
      <c r="B37" s="16">
        <v>48</v>
      </c>
      <c r="C37" s="17" t="str">
        <f t="shared" si="0"/>
        <v>0030</v>
      </c>
      <c r="D37" s="18">
        <v>0</v>
      </c>
      <c r="E37" s="19"/>
      <c r="F37" s="18">
        <v>0</v>
      </c>
      <c r="G37" s="20"/>
      <c r="H37" s="27" t="s">
        <v>13</v>
      </c>
      <c r="I37" s="21"/>
      <c r="K37" s="22"/>
      <c r="L37" s="22"/>
      <c r="M37" s="22"/>
    </row>
    <row r="38" spans="2:13">
      <c r="B38" s="16">
        <v>50</v>
      </c>
      <c r="C38" s="17" t="str">
        <f t="shared" si="0"/>
        <v>0032</v>
      </c>
      <c r="D38" s="18">
        <v>0</v>
      </c>
      <c r="E38" s="19"/>
      <c r="F38" s="18">
        <v>0</v>
      </c>
      <c r="G38" s="20"/>
      <c r="H38" s="27" t="s">
        <v>13</v>
      </c>
      <c r="I38" s="21"/>
    </row>
    <row r="39" spans="2:13">
      <c r="B39" s="16">
        <v>52</v>
      </c>
      <c r="C39" s="17" t="str">
        <f t="shared" si="0"/>
        <v>0034</v>
      </c>
      <c r="D39" s="18">
        <v>0</v>
      </c>
      <c r="E39" s="19"/>
      <c r="F39" s="18">
        <v>0</v>
      </c>
      <c r="G39" s="20"/>
      <c r="H39" s="27" t="s">
        <v>13</v>
      </c>
      <c r="I39" s="21"/>
    </row>
    <row r="40" spans="2:13">
      <c r="B40" s="16">
        <v>54</v>
      </c>
      <c r="C40" s="17" t="str">
        <f t="shared" si="0"/>
        <v>0036</v>
      </c>
      <c r="D40" s="18">
        <v>0</v>
      </c>
      <c r="E40" s="19"/>
      <c r="F40" s="18">
        <v>0</v>
      </c>
      <c r="G40" s="20"/>
      <c r="H40" s="27" t="s">
        <v>13</v>
      </c>
      <c r="I40" s="21"/>
    </row>
    <row r="41" spans="2:13">
      <c r="B41" s="16">
        <v>56</v>
      </c>
      <c r="C41" s="17" t="str">
        <f t="shared" si="0"/>
        <v>0038</v>
      </c>
      <c r="D41" s="18">
        <v>0</v>
      </c>
      <c r="E41" s="19"/>
      <c r="F41" s="18">
        <v>0</v>
      </c>
      <c r="G41" s="20"/>
      <c r="H41" s="27" t="s">
        <v>13</v>
      </c>
      <c r="I41" s="21"/>
    </row>
    <row r="42" spans="2:13">
      <c r="B42" s="16">
        <v>58</v>
      </c>
      <c r="C42" s="17" t="str">
        <f t="shared" si="0"/>
        <v>003A</v>
      </c>
      <c r="D42" s="18">
        <v>0</v>
      </c>
      <c r="E42" s="19"/>
      <c r="F42" s="18">
        <v>0</v>
      </c>
      <c r="G42" s="20"/>
      <c r="H42" s="27" t="s">
        <v>13</v>
      </c>
      <c r="I42" s="21"/>
    </row>
    <row r="43" spans="2:13">
      <c r="B43" s="16">
        <v>60</v>
      </c>
      <c r="C43" s="17" t="str">
        <f t="shared" si="0"/>
        <v>003C</v>
      </c>
      <c r="D43" s="18">
        <v>0</v>
      </c>
      <c r="E43" s="19"/>
      <c r="F43" s="18">
        <v>0</v>
      </c>
      <c r="G43" s="20"/>
      <c r="H43" s="27" t="s">
        <v>13</v>
      </c>
      <c r="I43" s="21"/>
    </row>
    <row r="44" spans="2:13">
      <c r="B44" s="16">
        <v>62</v>
      </c>
      <c r="C44" s="17" t="str">
        <f t="shared" si="0"/>
        <v>003E</v>
      </c>
      <c r="D44" s="18">
        <v>0</v>
      </c>
      <c r="E44" s="19"/>
      <c r="F44" s="18">
        <v>0</v>
      </c>
      <c r="G44" s="20"/>
      <c r="H44" s="27" t="s">
        <v>13</v>
      </c>
      <c r="I44" s="21"/>
    </row>
  </sheetData>
  <phoneticPr fontId="3"/>
  <conditionalFormatting sqref="D13:E44">
    <cfRule type="expression" dxfId="3" priority="1">
      <formula>$D13=1</formula>
    </cfRule>
    <cfRule type="expression" dxfId="2" priority="2">
      <formula>$D13=2</formula>
    </cfRule>
    <cfRule type="expression" dxfId="1" priority="4">
      <formula>$D13=0</formula>
    </cfRule>
  </conditionalFormatting>
  <conditionalFormatting sqref="F13:G44">
    <cfRule type="expression" dxfId="0" priority="3">
      <formula>$F13=0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CommandButton4">
          <controlPr defaultSize="0" autoLine="0" r:id="rId5">
            <anchor moveWithCells="1">
              <from>
                <xdr:col>3</xdr:col>
                <xdr:colOff>428625</xdr:colOff>
                <xdr:row>8</xdr:row>
                <xdr:rowOff>161925</xdr:rowOff>
              </from>
              <to>
                <xdr:col>4</xdr:col>
                <xdr:colOff>895350</xdr:colOff>
                <xdr:row>10</xdr:row>
                <xdr:rowOff>95250</xdr:rowOff>
              </to>
            </anchor>
          </controlPr>
        </control>
      </mc:Choice>
      <mc:Fallback>
        <control shapeId="1031" r:id="rId4" name="CommandButton4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5</xdr:col>
                <xdr:colOff>47625</xdr:colOff>
                <xdr:row>9</xdr:row>
                <xdr:rowOff>0</xdr:rowOff>
              </from>
              <to>
                <xdr:col>6</xdr:col>
                <xdr:colOff>800100</xdr:colOff>
                <xdr:row>10</xdr:row>
                <xdr:rowOff>104775</xdr:rowOff>
              </to>
            </anchor>
          </controlPr>
        </control>
      </mc:Choice>
      <mc:Fallback>
        <control shapeId="1028" r:id="rId6" name="CommandButton3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autoPict="0" r:id="rId9">
            <anchor moveWithCells="1">
              <from>
                <xdr:col>4</xdr:col>
                <xdr:colOff>114300</xdr:colOff>
                <xdr:row>1</xdr:row>
                <xdr:rowOff>38100</xdr:rowOff>
              </from>
              <to>
                <xdr:col>4</xdr:col>
                <xdr:colOff>800100</xdr:colOff>
                <xdr:row>3</xdr:row>
                <xdr:rowOff>0</xdr:rowOff>
              </to>
            </anchor>
          </controlPr>
        </control>
      </mc:Choice>
      <mc:Fallback>
        <control shapeId="1026" r:id="rId8" name="CommandButton1"/>
      </mc:Fallback>
    </mc:AlternateContent>
    <mc:AlternateContent xmlns:mc="http://schemas.openxmlformats.org/markup-compatibility/2006">
      <mc:Choice Requires="x14">
        <control shapeId="1027" r:id="rId10" name="CommandButton2">
          <controlPr defaultSize="0" autoLine="0" r:id="rId11">
            <anchor moveWithCells="1">
              <from>
                <xdr:col>4</xdr:col>
                <xdr:colOff>885825</xdr:colOff>
                <xdr:row>1</xdr:row>
                <xdr:rowOff>57150</xdr:rowOff>
              </from>
              <to>
                <xdr:col>5</xdr:col>
                <xdr:colOff>361950</xdr:colOff>
                <xdr:row>3</xdr:row>
                <xdr:rowOff>9525</xdr:rowOff>
              </to>
            </anchor>
          </controlPr>
        </control>
      </mc:Choice>
      <mc:Fallback>
        <control shapeId="1027" r:id="rId10" name="CommandButton2"/>
      </mc:Fallback>
    </mc:AlternateContent>
    <mc:AlternateContent xmlns:mc="http://schemas.openxmlformats.org/markup-compatibility/2006">
      <mc:Choice Requires="x14">
        <control shapeId="1030" r:id="rId12" name="CommandButton5">
          <controlPr defaultSize="0" autoLine="0" r:id="rId13">
            <anchor moveWithCells="1">
              <from>
                <xdr:col>2</xdr:col>
                <xdr:colOff>28575</xdr:colOff>
                <xdr:row>8</xdr:row>
                <xdr:rowOff>161925</xdr:rowOff>
              </from>
              <to>
                <xdr:col>3</xdr:col>
                <xdr:colOff>200025</xdr:colOff>
                <xdr:row>10</xdr:row>
                <xdr:rowOff>95250</xdr:rowOff>
              </to>
            </anchor>
          </controlPr>
        </control>
      </mc:Choice>
      <mc:Fallback>
        <control shapeId="1030" r:id="rId12" name="CommandButton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2021-08-07T08:13:03Z</dcterms:created>
  <dcterms:modified xsi:type="dcterms:W3CDTF">2021-08-29T04:11:09Z</dcterms:modified>
</cp:coreProperties>
</file>